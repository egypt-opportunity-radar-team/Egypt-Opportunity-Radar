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lah\Desktop\Egypt-Opportunity-Radar\data\raw\exports\"/>
    </mc:Choice>
  </mc:AlternateContent>
  <xr:revisionPtr revIDLastSave="0" documentId="13_ncr:1_{8ADC22D2-93C0-4680-8653-6CB398413E8E}" xr6:coauthVersionLast="47" xr6:coauthVersionMax="47" xr10:uidLastSave="{00000000-0000-0000-0000-000000000000}"/>
  <bookViews>
    <workbookView xWindow="-108" yWindow="-108" windowWidth="23256" windowHeight="12456" xr2:uid="{AE4C680D-727B-4929-9A50-468D20463A10}"/>
  </bookViews>
  <sheets>
    <sheet name="Top50" sheetId="2" r:id="rId1"/>
    <sheet name="Notes" sheetId="3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2" i="2"/>
</calcChain>
</file>

<file path=xl/sharedStrings.xml><?xml version="1.0" encoding="utf-8"?>
<sst xmlns="http://schemas.openxmlformats.org/spreadsheetml/2006/main" count="109" uniqueCount="60">
  <si>
    <t>Marble, travertine and alabaster; simply cut or sawn, with a flat or even surface</t>
  </si>
  <si>
    <t>Ethylene polymers; in primary forms, polyethylene having a specific gravity of 0.94 or more</t>
  </si>
  <si>
    <t>Propylene, other olefin polymers; polypropylene in primary forms</t>
  </si>
  <si>
    <t>Plastics; of polymers of propylene, plates, sheets, film, foil and strip (not self-adhesive), non-cellular and not reinforced, laminated, supported or similarly combined with other materials</t>
  </si>
  <si>
    <t>Metals; gold, non-monetary, unwrought (but not powder)</t>
  </si>
  <si>
    <t>Iron or non-alloy steel; in coils, without patterns in relief, flat-rolled, of a width 600mm or more, hot-rolled, pickled, of a thickness of 3mm or more but less than 4.75mm</t>
  </si>
  <si>
    <t>Iron or non-alloy steel; in coils, without patterns in relief, flat-rolled, of a width 600mm or more, hot-rolled, of a thickness of less than 3mm</t>
  </si>
  <si>
    <t>Iron or non-alloy steel; bars and rods, hot-rolled, in irregularly wound coils, n.e.c. in heading no. 7213, of circular cross-section measuring less than 14mm in diameter</t>
  </si>
  <si>
    <t>Iron or non-alloy steel; bars and rods, hot-rolled, hot-drawn or hot-extruded, containing indentations, ribs, grooves or other deformations produced during the rolling process or twisted after rolling</t>
  </si>
  <si>
    <t>Copper; wire, of refined copper, of which the maximum cross-sectional dimension exceeds 6mm</t>
  </si>
  <si>
    <t>Aluminium; unwrought, (not alloyed)</t>
  </si>
  <si>
    <t>Aluminium; plates, sheets and strip, thickness exceeding 0.2mm, (not alloyed), rectangular (including square)</t>
  </si>
  <si>
    <t>Vegetables; potatoes (other than seed), fresh or chilled</t>
  </si>
  <si>
    <t>Vegetables; uncooked or cooked by steaming or boiling in water, n.e.c. in heading no. 0710, frozen</t>
  </si>
  <si>
    <t>Vegetables, leguminous; kidney beans, including white pea beans (phaseolus vulgaris), shelled, whether or not skinned or split, dried</t>
  </si>
  <si>
    <t>Vegetable roots and tubers; sweet potatoes, with high starch or inulin content, fresh, chilled, frozen or dried, whether or not sliced or in the form of pellets</t>
  </si>
  <si>
    <t>Fruit, edible; oranges, fresh or dried</t>
  </si>
  <si>
    <t>Fruit, edible; grapes, fresh</t>
  </si>
  <si>
    <t>Fruit, edible; strawberries, uncooked or cooked by steaming or boiling in water, frozen, whether or not containing added sugar or other sweetening matter</t>
  </si>
  <si>
    <t>Wheat or meslin flour</t>
  </si>
  <si>
    <t>Plants and parts (including seeds and fruits) n.e.c. in heading no. 1211, of a kind used primarily in perfumery, in pharmacy or for insecticidal, fungicidal or similar purposes, fresh, chilled, frozen or dried, whether or not cut, crushed or powdered</t>
  </si>
  <si>
    <t>Furniture; wooden, other than for office, kitchen or bedroom use</t>
  </si>
  <si>
    <t>Sugars; sucrose, chemically pure, in solid form, not containing added flavouring or colouring matter</t>
  </si>
  <si>
    <t>Chocolate and other food preparations containing cocoa; in blocks, slabs or bars, filled, weighing 2kg or less</t>
  </si>
  <si>
    <t>Vegetable preparations; potatoes, prepared or preserved otherwise than by vinegar or acetic acid, frozen</t>
  </si>
  <si>
    <t>T-shirts, singlets and other vests; of cotton, knitted or crocheted</t>
  </si>
  <si>
    <t>T-shirts, singlets and other vests; of textile materials (other than cotton), knitted or crocheted</t>
  </si>
  <si>
    <t>Food preparations; n.e.c. in item no. 2106.10</t>
  </si>
  <si>
    <t>Natural calcium phosphates, natural aluminium calcium phosphates and phosphatic chalk; unground</t>
  </si>
  <si>
    <t>Natural calcium phosphates, natural aluminium calcium phosphates and phosphatic chalk; ground</t>
  </si>
  <si>
    <t>Trousers, bib and brace overalls, breeches and shorts; men's or boys', of synthetic fibres (not knitted or crocheted)</t>
  </si>
  <si>
    <t>Trousers, bib and brace overalls, breeches and shorts; men's or boys', of textile materials (other than wool, fine animal hair, cotton or synthetic fibres), (not knitted or crocheted)</t>
  </si>
  <si>
    <t>Trousers, bib and brace overalls, breeches and shorts; women's or girls', of cotton (not knitted or crocheted)</t>
  </si>
  <si>
    <t>Trousers, bib and brace overalls, breeches and shorts; women's or girls', of textile materials (other than wool, fine animal hair, cotton or synthetic fibres), (not knitted or crocheted)</t>
  </si>
  <si>
    <t>Cement clinkers (whether or not coloured)</t>
  </si>
  <si>
    <t>Cement; portland, other than white, whether or not artificially coloured</t>
  </si>
  <si>
    <t>Commodities not specified according to kind</t>
  </si>
  <si>
    <t>Oils; petroleum oils and oils obtained from bituminous minerals, crude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</si>
  <si>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</si>
  <si>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</si>
  <si>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Petroleum gases and other gaseous hydrocarbons; liquefied, natural gas</t>
  </si>
  <si>
    <t>Reception apparatus for television, whether or not incorporating radio-broadcast receivers or sound or video recording or reproducing apparatus; incorporating a colour video display or screen</t>
  </si>
  <si>
    <t>Carbon; carbon blacks and other forms of carbon n.e.c.</t>
  </si>
  <si>
    <t>Alcohols; saturated monohydric, methanol (methyl alcohol)</t>
  </si>
  <si>
    <t>Insulated electric conductors; co-axial cable and other co-axial electric conductors</t>
  </si>
  <si>
    <t>Insulated electric conductors; ignition wiring sets and other wiring sets of a kind used in vehicles, aircraft or ships</t>
  </si>
  <si>
    <t>Insulated electric conductors; for a voltage not exceeding 1000 volts, not fitted with connectors</t>
  </si>
  <si>
    <t>Medicaments; consisting of mixed or unmixed products n.e.c. in heading no. 3004, for therapeutic or prophylactic uses, packaged for retail sale</t>
  </si>
  <si>
    <t>Fertilizers, mineral or chemical; nitrogenous, urea, whether or not in aqueous solution</t>
  </si>
  <si>
    <t>Poly(ethylene terephthalate); in primary forms, having a viscosity of 78ml/g or higher</t>
  </si>
  <si>
    <t>Source:</t>
  </si>
  <si>
    <t>Comtrade</t>
  </si>
  <si>
    <t>Year:</t>
  </si>
  <si>
    <t>source</t>
  </si>
  <si>
    <t>UN Comtrade</t>
  </si>
  <si>
    <t>Also_Imported</t>
  </si>
  <si>
    <t>HS_Code</t>
  </si>
  <si>
    <t>Year</t>
  </si>
  <si>
    <t>Product_Description</t>
  </si>
  <si>
    <t>Export_Value_USD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</si>
</sst>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wnloads/task1_top50_imports_2025.xlsx" TargetMode="External"/><Relationship Id="rId2" Type="http://schemas.openxmlformats.org/officeDocument/2006/relationships/externalLinkPath" Target="file:///C:\Users\Abdullah\Downloads\task1_top50_imports_2025.xlsx" TargetMode="External"/><Relationship Id="rId1" Type="http://schemas.openxmlformats.org/officeDocument/2006/relationships/externalLinkPath" Target="/Users/Abdullah/Downloads/task1_top50_imports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op50"/>
      <sheetName val="Notes"/>
    </sheetNames>
    <sheetDataSet>
      <sheetData sheetId="0">
        <row r="1">
          <cell r="A1" t="str">
            <v>HS_Code</v>
          </cell>
        </row>
        <row r="2">
          <cell r="A2" t="str">
            <v>271111</v>
          </cell>
        </row>
        <row r="3">
          <cell r="A3" t="str">
            <v>271012</v>
          </cell>
        </row>
        <row r="4">
          <cell r="A4" t="str">
            <v>100119</v>
          </cell>
        </row>
        <row r="5">
          <cell r="A5" t="str">
            <v>100590</v>
          </cell>
        </row>
        <row r="6">
          <cell r="A6" t="str">
            <v>120190</v>
          </cell>
        </row>
        <row r="7">
          <cell r="A7" t="str">
            <v>300490</v>
          </cell>
        </row>
        <row r="8">
          <cell r="A8" t="str">
            <v>271019</v>
          </cell>
        </row>
        <row r="9">
          <cell r="A9" t="str">
            <v>270900</v>
          </cell>
        </row>
        <row r="10">
          <cell r="A10" t="str">
            <v>151190</v>
          </cell>
        </row>
        <row r="11">
          <cell r="A11" t="str">
            <v>880510</v>
          </cell>
        </row>
        <row r="12">
          <cell r="A12" t="str">
            <v>870323</v>
          </cell>
        </row>
        <row r="13">
          <cell r="A13" t="str">
            <v>720449</v>
          </cell>
        </row>
        <row r="14">
          <cell r="A14" t="str">
            <v>740311</v>
          </cell>
        </row>
        <row r="15">
          <cell r="A15" t="str">
            <v>271113</v>
          </cell>
        </row>
        <row r="16">
          <cell r="A16" t="str">
            <v>260112</v>
          </cell>
        </row>
        <row r="17">
          <cell r="A17" t="str">
            <v>870322</v>
          </cell>
        </row>
        <row r="18">
          <cell r="A18" t="str">
            <v>020230</v>
          </cell>
        </row>
        <row r="19">
          <cell r="A19" t="str">
            <v>710812</v>
          </cell>
        </row>
        <row r="20">
          <cell r="A20" t="str">
            <v>720719</v>
          </cell>
        </row>
        <row r="21">
          <cell r="A21" t="str">
            <v>851779</v>
          </cell>
        </row>
        <row r="22">
          <cell r="A22" t="str">
            <v>390210</v>
          </cell>
        </row>
        <row r="23">
          <cell r="A23" t="str">
            <v>870121</v>
          </cell>
        </row>
        <row r="24">
          <cell r="A24" t="str">
            <v>730890</v>
          </cell>
        </row>
        <row r="25">
          <cell r="A25" t="str">
            <v>852491</v>
          </cell>
        </row>
        <row r="26">
          <cell r="A26" t="str">
            <v>390120</v>
          </cell>
        </row>
        <row r="27">
          <cell r="A27" t="str">
            <v>270112</v>
          </cell>
        </row>
        <row r="28">
          <cell r="A28" t="str">
            <v>740811</v>
          </cell>
        </row>
        <row r="29">
          <cell r="A29" t="str">
            <v>732690</v>
          </cell>
        </row>
        <row r="30">
          <cell r="A30" t="str">
            <v>440711</v>
          </cell>
        </row>
        <row r="31">
          <cell r="A31" t="str">
            <v>170114</v>
          </cell>
        </row>
        <row r="32">
          <cell r="A32" t="str">
            <v>151211</v>
          </cell>
        </row>
        <row r="33">
          <cell r="A33" t="str">
            <v>851762</v>
          </cell>
        </row>
        <row r="34">
          <cell r="A34" t="str">
            <v>870380</v>
          </cell>
        </row>
        <row r="35">
          <cell r="A35" t="str">
            <v>090111</v>
          </cell>
        </row>
        <row r="36">
          <cell r="A36" t="str">
            <v>210690</v>
          </cell>
        </row>
        <row r="37">
          <cell r="A37" t="str">
            <v>847989</v>
          </cell>
        </row>
        <row r="38">
          <cell r="A38" t="str">
            <v>520100</v>
          </cell>
        </row>
        <row r="39">
          <cell r="A39" t="str">
            <v>071350</v>
          </cell>
        </row>
        <row r="40">
          <cell r="A40" t="str">
            <v>390110</v>
          </cell>
        </row>
        <row r="41">
          <cell r="A41" t="str">
            <v>401120</v>
          </cell>
        </row>
        <row r="42">
          <cell r="A42" t="str">
            <v>851714</v>
          </cell>
        </row>
        <row r="43">
          <cell r="A43" t="str">
            <v>010229</v>
          </cell>
        </row>
        <row r="44">
          <cell r="A44" t="str">
            <v>848180</v>
          </cell>
        </row>
        <row r="45">
          <cell r="A45" t="str">
            <v>850440</v>
          </cell>
        </row>
        <row r="46">
          <cell r="A46" t="str">
            <v>540246</v>
          </cell>
        </row>
        <row r="47">
          <cell r="A47" t="str">
            <v>540247</v>
          </cell>
        </row>
        <row r="48">
          <cell r="A48" t="str">
            <v>080810</v>
          </cell>
        </row>
        <row r="49">
          <cell r="A49" t="str">
            <v>841370</v>
          </cell>
        </row>
        <row r="50">
          <cell r="A50" t="str">
            <v>720839</v>
          </cell>
        </row>
        <row r="51">
          <cell r="A51" t="str">
            <v>090240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23060-49BD-42C4-B490-B9B772BE5B47}">
  <dimension ref="A1:F51"/>
  <sheetViews>
    <sheetView tabSelected="1" workbookViewId="0">
      <selection activeCell="F1" sqref="F1"/>
    </sheetView>
  </sheetViews>
  <sheetFormatPr defaultRowHeight="14.4" x14ac:dyDescent="0.3"/>
  <cols>
    <col min="2" max="2" width="44.77734375" customWidth="1"/>
    <col min="3" max="3" width="12" bestFit="1" customWidth="1"/>
    <col min="5" max="5" width="11.88671875" bestFit="1" customWidth="1"/>
    <col min="7" max="7" width="11.77734375" bestFit="1" customWidth="1"/>
    <col min="8" max="8" width="10.33203125" bestFit="1" customWidth="1"/>
    <col min="10" max="10" width="8.5546875" bestFit="1" customWidth="1"/>
    <col min="12" max="12" width="11.109375" bestFit="1" customWidth="1"/>
    <col min="13" max="13" width="9.6640625" bestFit="1" customWidth="1"/>
  </cols>
  <sheetData>
    <row r="1" spans="1:6" x14ac:dyDescent="0.3">
      <c r="A1" t="s">
        <v>56</v>
      </c>
      <c r="B1" t="s">
        <v>58</v>
      </c>
      <c r="C1" t="s">
        <v>59</v>
      </c>
      <c r="D1" t="s">
        <v>57</v>
      </c>
      <c r="E1" t="s">
        <v>53</v>
      </c>
      <c r="F1" t="s">
        <v>55</v>
      </c>
    </row>
    <row r="2" spans="1:6" x14ac:dyDescent="0.3">
      <c r="A2">
        <v>710812</v>
      </c>
      <c r="B2" t="s">
        <v>4</v>
      </c>
      <c r="C2">
        <v>7602332104.7049999</v>
      </c>
      <c r="D2">
        <v>2025</v>
      </c>
      <c r="E2" t="s">
        <v>54</v>
      </c>
      <c r="F2" t="str">
        <f>IF(COUNTIF([1]Top50!$A:$A, A2)&gt;0, "Yes", "No")</f>
        <v>Yes</v>
      </c>
    </row>
    <row r="3" spans="1:6" x14ac:dyDescent="0.3">
      <c r="A3">
        <v>999999</v>
      </c>
      <c r="B3" t="s">
        <v>36</v>
      </c>
      <c r="C3">
        <v>1983694227.9519999</v>
      </c>
      <c r="D3">
        <v>2025</v>
      </c>
      <c r="E3" t="s">
        <v>54</v>
      </c>
      <c r="F3" t="str">
        <f>IF(COUNTIF([1]Top50!$A:$A, A3)&gt;0, "Yes", "No")</f>
        <v>No</v>
      </c>
    </row>
    <row r="4" spans="1:6" x14ac:dyDescent="0.3">
      <c r="A4">
        <v>310210</v>
      </c>
      <c r="B4" t="s">
        <v>48</v>
      </c>
      <c r="C4">
        <v>1501888692.017</v>
      </c>
      <c r="D4">
        <v>2025</v>
      </c>
      <c r="E4" t="s">
        <v>54</v>
      </c>
      <c r="F4" t="str">
        <f>IF(COUNTIF([1]Top50!$A:$A, A4)&gt;0, "Yes", "No")</f>
        <v>No</v>
      </c>
    </row>
    <row r="5" spans="1:6" x14ac:dyDescent="0.3">
      <c r="A5">
        <v>271012</v>
      </c>
      <c r="B5" t="s">
        <v>38</v>
      </c>
      <c r="C5">
        <v>1200355355.6199999</v>
      </c>
      <c r="D5">
        <v>2025</v>
      </c>
      <c r="E5" t="s">
        <v>54</v>
      </c>
      <c r="F5" t="str">
        <f>IF(COUNTIF([1]Top50!$A:$A, A5)&gt;0, "Yes", "No")</f>
        <v>Yes</v>
      </c>
    </row>
    <row r="6" spans="1:6" x14ac:dyDescent="0.3">
      <c r="A6">
        <v>270900</v>
      </c>
      <c r="B6" t="s">
        <v>37</v>
      </c>
      <c r="C6">
        <v>997037400</v>
      </c>
      <c r="D6">
        <v>2025</v>
      </c>
      <c r="E6" t="s">
        <v>54</v>
      </c>
      <c r="F6" t="str">
        <f>IF(COUNTIF([1]Top50!$A:$A, A6)&gt;0, "Yes", "No")</f>
        <v>Yes</v>
      </c>
    </row>
    <row r="7" spans="1:6" x14ac:dyDescent="0.3">
      <c r="A7">
        <v>80510</v>
      </c>
      <c r="B7" t="s">
        <v>16</v>
      </c>
      <c r="C7">
        <v>857435913.49100006</v>
      </c>
      <c r="D7">
        <v>2025</v>
      </c>
      <c r="E7" t="s">
        <v>54</v>
      </c>
      <c r="F7" t="str">
        <f>IF(COUNTIF([1]Top50!$A:$A, A7)&gt;0, "Yes", "No")</f>
        <v>No</v>
      </c>
    </row>
    <row r="8" spans="1:6" x14ac:dyDescent="0.3">
      <c r="A8">
        <v>740811</v>
      </c>
      <c r="B8" t="s">
        <v>9</v>
      </c>
      <c r="C8">
        <v>775938231.58500004</v>
      </c>
      <c r="D8">
        <v>2025</v>
      </c>
      <c r="E8" t="s">
        <v>54</v>
      </c>
      <c r="F8" t="str">
        <f>IF(COUNTIF([1]Top50!$A:$A, A8)&gt;0, "Yes", "No")</f>
        <v>Yes</v>
      </c>
    </row>
    <row r="9" spans="1:6" x14ac:dyDescent="0.3">
      <c r="A9">
        <v>852872</v>
      </c>
      <c r="B9" t="s">
        <v>41</v>
      </c>
      <c r="C9">
        <v>674715401.60500002</v>
      </c>
      <c r="D9">
        <v>2025</v>
      </c>
      <c r="E9" t="s">
        <v>54</v>
      </c>
      <c r="F9" t="str">
        <f>IF(COUNTIF([1]Top50!$A:$A, A9)&gt;0, "Yes", "No")</f>
        <v>No</v>
      </c>
    </row>
    <row r="10" spans="1:6" x14ac:dyDescent="0.3">
      <c r="A10">
        <v>81110</v>
      </c>
      <c r="B10" t="s">
        <v>18</v>
      </c>
      <c r="C10">
        <v>672553574.64699996</v>
      </c>
      <c r="D10">
        <v>2025</v>
      </c>
      <c r="E10" t="s">
        <v>54</v>
      </c>
      <c r="F10" t="str">
        <f>IF(COUNTIF([1]Top50!$A:$A, A10)&gt;0, "Yes", "No")</f>
        <v>No</v>
      </c>
    </row>
    <row r="11" spans="1:6" x14ac:dyDescent="0.3">
      <c r="A11">
        <v>210690</v>
      </c>
      <c r="B11" t="s">
        <v>27</v>
      </c>
      <c r="C11">
        <v>634796598.28299999</v>
      </c>
      <c r="D11">
        <v>2025</v>
      </c>
      <c r="E11" t="s">
        <v>54</v>
      </c>
      <c r="F11" t="str">
        <f>IF(COUNTIF([1]Top50!$A:$A, A11)&gt;0, "Yes", "No")</f>
        <v>Yes</v>
      </c>
    </row>
    <row r="12" spans="1:6" x14ac:dyDescent="0.3">
      <c r="A12">
        <v>854430</v>
      </c>
      <c r="B12" t="s">
        <v>45</v>
      </c>
      <c r="C12">
        <v>561645506.08700001</v>
      </c>
      <c r="D12">
        <v>2025</v>
      </c>
      <c r="E12" t="s">
        <v>54</v>
      </c>
      <c r="F12" t="str">
        <f>IF(COUNTIF([1]Top50!$A:$A, A12)&gt;0, "Yes", "No")</f>
        <v>No</v>
      </c>
    </row>
    <row r="13" spans="1:6" x14ac:dyDescent="0.3">
      <c r="A13">
        <v>721420</v>
      </c>
      <c r="B13" t="s">
        <v>8</v>
      </c>
      <c r="C13">
        <v>538248261.32700002</v>
      </c>
      <c r="D13">
        <v>2025</v>
      </c>
      <c r="E13" t="s">
        <v>54</v>
      </c>
      <c r="F13" t="str">
        <f>IF(COUNTIF([1]Top50!$A:$A, A13)&gt;0, "Yes", "No")</f>
        <v>No</v>
      </c>
    </row>
    <row r="14" spans="1:6" x14ac:dyDescent="0.3">
      <c r="A14">
        <v>854420</v>
      </c>
      <c r="B14" t="s">
        <v>44</v>
      </c>
      <c r="C14">
        <v>535957928.38099998</v>
      </c>
      <c r="D14">
        <v>2025</v>
      </c>
      <c r="E14" t="s">
        <v>54</v>
      </c>
      <c r="F14" t="str">
        <f>IF(COUNTIF([1]Top50!$A:$A, A14)&gt;0, "Yes", "No")</f>
        <v>No</v>
      </c>
    </row>
    <row r="15" spans="1:6" x14ac:dyDescent="0.3">
      <c r="A15">
        <v>70190</v>
      </c>
      <c r="B15" t="s">
        <v>12</v>
      </c>
      <c r="C15">
        <v>497736625.79500002</v>
      </c>
      <c r="D15">
        <v>2025</v>
      </c>
      <c r="E15" t="s">
        <v>54</v>
      </c>
      <c r="F15" t="str">
        <f>IF(COUNTIF([1]Top50!$A:$A, A15)&gt;0, "Yes", "No")</f>
        <v>No</v>
      </c>
    </row>
    <row r="16" spans="1:6" x14ac:dyDescent="0.3">
      <c r="A16">
        <v>252329</v>
      </c>
      <c r="B16" t="s">
        <v>35</v>
      </c>
      <c r="C16">
        <v>492987729.111</v>
      </c>
      <c r="D16">
        <v>2025</v>
      </c>
      <c r="E16" t="s">
        <v>54</v>
      </c>
      <c r="F16" t="str">
        <f>IF(COUNTIF([1]Top50!$A:$A, A16)&gt;0, "Yes", "No")</f>
        <v>No</v>
      </c>
    </row>
    <row r="17" spans="1:6" x14ac:dyDescent="0.3">
      <c r="A17">
        <v>80610</v>
      </c>
      <c r="B17" t="s">
        <v>17</v>
      </c>
      <c r="C17">
        <v>428090664.58099997</v>
      </c>
      <c r="D17">
        <v>2025</v>
      </c>
      <c r="E17" t="s">
        <v>54</v>
      </c>
      <c r="F17" t="str">
        <f>IF(COUNTIF([1]Top50!$A:$A, A17)&gt;0, "Yes", "No")</f>
        <v>No</v>
      </c>
    </row>
    <row r="18" spans="1:6" x14ac:dyDescent="0.3">
      <c r="A18">
        <v>620343</v>
      </c>
      <c r="B18" t="s">
        <v>30</v>
      </c>
      <c r="C18">
        <v>419998618.83399999</v>
      </c>
      <c r="D18">
        <v>2025</v>
      </c>
      <c r="E18" t="s">
        <v>54</v>
      </c>
      <c r="F18" t="str">
        <f>IF(COUNTIF([1]Top50!$A:$A, A18)&gt;0, "Yes", "No")</f>
        <v>No</v>
      </c>
    </row>
    <row r="19" spans="1:6" x14ac:dyDescent="0.3">
      <c r="A19">
        <v>390761</v>
      </c>
      <c r="B19" t="s">
        <v>49</v>
      </c>
      <c r="C19">
        <v>389412257.24299997</v>
      </c>
      <c r="D19">
        <v>2025</v>
      </c>
      <c r="E19" t="s">
        <v>54</v>
      </c>
      <c r="F19" t="str">
        <f>IF(COUNTIF([1]Top50!$A:$A, A19)&gt;0, "Yes", "No")</f>
        <v>No</v>
      </c>
    </row>
    <row r="20" spans="1:6" x14ac:dyDescent="0.3">
      <c r="A20">
        <v>610910</v>
      </c>
      <c r="B20" t="s">
        <v>25</v>
      </c>
      <c r="C20">
        <v>379114563.829</v>
      </c>
      <c r="D20">
        <v>2025</v>
      </c>
      <c r="E20" t="s">
        <v>54</v>
      </c>
      <c r="F20" t="str">
        <f>IF(COUNTIF([1]Top50!$A:$A, A20)&gt;0, "Yes", "No")</f>
        <v>No</v>
      </c>
    </row>
    <row r="21" spans="1:6" x14ac:dyDescent="0.3">
      <c r="A21">
        <v>390210</v>
      </c>
      <c r="B21" t="s">
        <v>2</v>
      </c>
      <c r="C21">
        <v>356269125.31199998</v>
      </c>
      <c r="D21">
        <v>2025</v>
      </c>
      <c r="E21" t="s">
        <v>54</v>
      </c>
      <c r="F21" t="str">
        <f>IF(COUNTIF([1]Top50!$A:$A, A21)&gt;0, "Yes", "No")</f>
        <v>Yes</v>
      </c>
    </row>
    <row r="22" spans="1:6" x14ac:dyDescent="0.3">
      <c r="A22">
        <v>610990</v>
      </c>
      <c r="B22" t="s">
        <v>26</v>
      </c>
      <c r="C22">
        <v>348552768.70200002</v>
      </c>
      <c r="D22">
        <v>2025</v>
      </c>
      <c r="E22" t="s">
        <v>54</v>
      </c>
      <c r="F22" t="str">
        <f>IF(COUNTIF([1]Top50!$A:$A, A22)&gt;0, "Yes", "No")</f>
        <v>No</v>
      </c>
    </row>
    <row r="23" spans="1:6" x14ac:dyDescent="0.3">
      <c r="A23">
        <v>854449</v>
      </c>
      <c r="B23" t="s">
        <v>46</v>
      </c>
      <c r="C23">
        <v>340629340.63999999</v>
      </c>
      <c r="D23">
        <v>2025</v>
      </c>
      <c r="E23" t="s">
        <v>54</v>
      </c>
      <c r="F23" t="str">
        <f>IF(COUNTIF([1]Top50!$A:$A, A23)&gt;0, "Yes", "No")</f>
        <v>No</v>
      </c>
    </row>
    <row r="24" spans="1:6" x14ac:dyDescent="0.3">
      <c r="A24">
        <v>110100</v>
      </c>
      <c r="B24" t="s">
        <v>19</v>
      </c>
      <c r="C24">
        <v>313767077.37800002</v>
      </c>
      <c r="D24">
        <v>2025</v>
      </c>
      <c r="E24" t="s">
        <v>54</v>
      </c>
      <c r="F24" t="str">
        <f>IF(COUNTIF([1]Top50!$A:$A, A24)&gt;0, "Yes", "No")</f>
        <v>No</v>
      </c>
    </row>
    <row r="25" spans="1:6" x14ac:dyDescent="0.3">
      <c r="A25">
        <v>300490</v>
      </c>
      <c r="B25" t="s">
        <v>47</v>
      </c>
      <c r="C25">
        <v>312952616.56800002</v>
      </c>
      <c r="D25">
        <v>2025</v>
      </c>
      <c r="E25" t="s">
        <v>54</v>
      </c>
      <c r="F25" t="str">
        <f>IF(COUNTIF([1]Top50!$A:$A, A25)&gt;0, "Yes", "No")</f>
        <v>Yes</v>
      </c>
    </row>
    <row r="26" spans="1:6" x14ac:dyDescent="0.3">
      <c r="A26">
        <v>71333</v>
      </c>
      <c r="B26" t="s">
        <v>14</v>
      </c>
      <c r="C26">
        <v>304847593.61699998</v>
      </c>
      <c r="D26">
        <v>2025</v>
      </c>
      <c r="E26" t="s">
        <v>54</v>
      </c>
      <c r="F26" t="str">
        <f>IF(COUNTIF([1]Top50!$A:$A, A26)&gt;0, "Yes", "No")</f>
        <v>No</v>
      </c>
    </row>
    <row r="27" spans="1:6" x14ac:dyDescent="0.3">
      <c r="A27">
        <v>251010</v>
      </c>
      <c r="B27" t="s">
        <v>28</v>
      </c>
      <c r="C27">
        <v>298585839.60000002</v>
      </c>
      <c r="D27">
        <v>2025</v>
      </c>
      <c r="E27" t="s">
        <v>54</v>
      </c>
      <c r="F27" t="str">
        <f>IF(COUNTIF([1]Top50!$A:$A, A27)&gt;0, "Yes", "No")</f>
        <v>No</v>
      </c>
    </row>
    <row r="28" spans="1:6" x14ac:dyDescent="0.3">
      <c r="A28">
        <v>720826</v>
      </c>
      <c r="B28" t="s">
        <v>5</v>
      </c>
      <c r="C28">
        <v>293518737.96399999</v>
      </c>
      <c r="D28">
        <v>2025</v>
      </c>
      <c r="E28" t="s">
        <v>54</v>
      </c>
      <c r="F28" t="str">
        <f>IF(COUNTIF([1]Top50!$A:$A, A28)&gt;0, "Yes", "No")</f>
        <v>No</v>
      </c>
    </row>
    <row r="29" spans="1:6" x14ac:dyDescent="0.3">
      <c r="A29">
        <v>170199</v>
      </c>
      <c r="B29" t="s">
        <v>22</v>
      </c>
      <c r="C29">
        <v>285049505.10000002</v>
      </c>
      <c r="D29">
        <v>2025</v>
      </c>
      <c r="E29" t="s">
        <v>54</v>
      </c>
      <c r="F29" t="str">
        <f>IF(COUNTIF([1]Top50!$A:$A, A29)&gt;0, "Yes", "No")</f>
        <v>No</v>
      </c>
    </row>
    <row r="30" spans="1:6" x14ac:dyDescent="0.3">
      <c r="A30">
        <v>620349</v>
      </c>
      <c r="B30" t="s">
        <v>31</v>
      </c>
      <c r="C30">
        <v>268498232.42500001</v>
      </c>
      <c r="D30">
        <v>2025</v>
      </c>
      <c r="E30" t="s">
        <v>54</v>
      </c>
      <c r="F30" t="str">
        <f>IF(COUNTIF([1]Top50!$A:$A, A30)&gt;0, "Yes", "No")</f>
        <v>No</v>
      </c>
    </row>
    <row r="31" spans="1:6" x14ac:dyDescent="0.3">
      <c r="A31">
        <v>252310</v>
      </c>
      <c r="B31" t="s">
        <v>34</v>
      </c>
      <c r="C31">
        <v>264361718.12599999</v>
      </c>
      <c r="D31">
        <v>2025</v>
      </c>
      <c r="E31" t="s">
        <v>54</v>
      </c>
      <c r="F31" t="str">
        <f>IF(COUNTIF([1]Top50!$A:$A, A31)&gt;0, "Yes", "No")</f>
        <v>No</v>
      </c>
    </row>
    <row r="32" spans="1:6" x14ac:dyDescent="0.3">
      <c r="A32">
        <v>620462</v>
      </c>
      <c r="B32" t="s">
        <v>32</v>
      </c>
      <c r="C32">
        <v>261770090.68000001</v>
      </c>
      <c r="D32">
        <v>2025</v>
      </c>
      <c r="E32" t="s">
        <v>54</v>
      </c>
      <c r="F32" t="str">
        <f>IF(COUNTIF([1]Top50!$A:$A, A32)&gt;0, "Yes", "No")</f>
        <v>No</v>
      </c>
    </row>
    <row r="33" spans="1:6" x14ac:dyDescent="0.3">
      <c r="A33">
        <v>271111</v>
      </c>
      <c r="B33" t="s">
        <v>40</v>
      </c>
      <c r="C33">
        <v>253165000</v>
      </c>
      <c r="D33">
        <v>2025</v>
      </c>
      <c r="E33" t="s">
        <v>54</v>
      </c>
      <c r="F33" t="str">
        <f>IF(COUNTIF([1]Top50!$A:$A, A33)&gt;0, "Yes", "No")</f>
        <v>Yes</v>
      </c>
    </row>
    <row r="34" spans="1:6" x14ac:dyDescent="0.3">
      <c r="A34">
        <v>200410</v>
      </c>
      <c r="B34" t="s">
        <v>24</v>
      </c>
      <c r="C34">
        <v>250362879.56900001</v>
      </c>
      <c r="D34">
        <v>2025</v>
      </c>
      <c r="E34" t="s">
        <v>54</v>
      </c>
      <c r="F34" t="str">
        <f>IF(COUNTIF([1]Top50!$A:$A, A34)&gt;0, "Yes", "No")</f>
        <v>No</v>
      </c>
    </row>
    <row r="35" spans="1:6" x14ac:dyDescent="0.3">
      <c r="A35">
        <v>180631</v>
      </c>
      <c r="B35" t="s">
        <v>23</v>
      </c>
      <c r="C35">
        <v>249647839.79100001</v>
      </c>
      <c r="D35">
        <v>2025</v>
      </c>
      <c r="E35" t="s">
        <v>54</v>
      </c>
      <c r="F35" t="str">
        <f>IF(COUNTIF([1]Top50!$A:$A, A35)&gt;0, "Yes", "No")</f>
        <v>No</v>
      </c>
    </row>
    <row r="36" spans="1:6" x14ac:dyDescent="0.3">
      <c r="A36">
        <v>390120</v>
      </c>
      <c r="B36" t="s">
        <v>1</v>
      </c>
      <c r="C36">
        <v>239740508.53099999</v>
      </c>
      <c r="D36">
        <v>2025</v>
      </c>
      <c r="E36" t="s">
        <v>54</v>
      </c>
      <c r="F36" t="str">
        <f>IF(COUNTIF([1]Top50!$A:$A, A36)&gt;0, "Yes", "No")</f>
        <v>Yes</v>
      </c>
    </row>
    <row r="37" spans="1:6" x14ac:dyDescent="0.3">
      <c r="A37">
        <v>760110</v>
      </c>
      <c r="B37" t="s">
        <v>10</v>
      </c>
      <c r="C37">
        <v>237360902.96799999</v>
      </c>
      <c r="D37">
        <v>2025</v>
      </c>
      <c r="E37" t="s">
        <v>54</v>
      </c>
      <c r="F37" t="str">
        <f>IF(COUNTIF([1]Top50!$A:$A, A37)&gt;0, "Yes", "No")</f>
        <v>No</v>
      </c>
    </row>
    <row r="38" spans="1:6" x14ac:dyDescent="0.3">
      <c r="A38">
        <v>71420</v>
      </c>
      <c r="B38" t="s">
        <v>15</v>
      </c>
      <c r="C38">
        <v>235782878.336</v>
      </c>
      <c r="D38">
        <v>2025</v>
      </c>
      <c r="E38" t="s">
        <v>54</v>
      </c>
      <c r="F38" t="str">
        <f>IF(COUNTIF([1]Top50!$A:$A, A38)&gt;0, "Yes", "No")</f>
        <v>No</v>
      </c>
    </row>
    <row r="39" spans="1:6" x14ac:dyDescent="0.3">
      <c r="A39">
        <v>121190</v>
      </c>
      <c r="B39" t="s">
        <v>20</v>
      </c>
      <c r="C39">
        <v>232551248.935</v>
      </c>
      <c r="D39">
        <v>2025</v>
      </c>
      <c r="E39" t="s">
        <v>54</v>
      </c>
      <c r="F39" t="str">
        <f>IF(COUNTIF([1]Top50!$A:$A, A39)&gt;0, "Yes", "No")</f>
        <v>No</v>
      </c>
    </row>
    <row r="40" spans="1:6" x14ac:dyDescent="0.3">
      <c r="A40">
        <v>720839</v>
      </c>
      <c r="B40" t="s">
        <v>6</v>
      </c>
      <c r="C40">
        <v>229734327.68000001</v>
      </c>
      <c r="D40">
        <v>2025</v>
      </c>
      <c r="E40" t="s">
        <v>54</v>
      </c>
      <c r="F40" t="str">
        <f>IF(COUNTIF([1]Top50!$A:$A, A40)&gt;0, "Yes", "No")</f>
        <v>Yes</v>
      </c>
    </row>
    <row r="41" spans="1:6" x14ac:dyDescent="0.3">
      <c r="A41">
        <v>940360</v>
      </c>
      <c r="B41" t="s">
        <v>21</v>
      </c>
      <c r="C41">
        <v>225623547.51800001</v>
      </c>
      <c r="D41">
        <v>2025</v>
      </c>
      <c r="E41" t="s">
        <v>54</v>
      </c>
      <c r="F41" t="str">
        <f>IF(COUNTIF([1]Top50!$A:$A, A41)&gt;0, "Yes", "No")</f>
        <v>No</v>
      </c>
    </row>
    <row r="42" spans="1:6" x14ac:dyDescent="0.3">
      <c r="A42">
        <v>680221</v>
      </c>
      <c r="B42" t="s">
        <v>0</v>
      </c>
      <c r="C42">
        <v>216934702.83399999</v>
      </c>
      <c r="D42">
        <v>2025</v>
      </c>
      <c r="E42" t="s">
        <v>54</v>
      </c>
      <c r="F42" t="str">
        <f>IF(COUNTIF([1]Top50!$A:$A, A42)&gt;0, "Yes", "No")</f>
        <v>No</v>
      </c>
    </row>
    <row r="43" spans="1:6" x14ac:dyDescent="0.3">
      <c r="A43">
        <v>760611</v>
      </c>
      <c r="B43" t="s">
        <v>11</v>
      </c>
      <c r="C43">
        <v>215302242.44</v>
      </c>
      <c r="D43">
        <v>2025</v>
      </c>
      <c r="E43" t="s">
        <v>54</v>
      </c>
      <c r="F43" t="str">
        <f>IF(COUNTIF([1]Top50!$A:$A, A43)&gt;0, "Yes", "No")</f>
        <v>No</v>
      </c>
    </row>
    <row r="44" spans="1:6" x14ac:dyDescent="0.3">
      <c r="A44">
        <v>251020</v>
      </c>
      <c r="B44" t="s">
        <v>29</v>
      </c>
      <c r="C44">
        <v>213956754.47499999</v>
      </c>
      <c r="D44">
        <v>2025</v>
      </c>
      <c r="E44" t="s">
        <v>54</v>
      </c>
      <c r="F44" t="str">
        <f>IF(COUNTIF([1]Top50!$A:$A, A44)&gt;0, "Yes", "No")</f>
        <v>No</v>
      </c>
    </row>
    <row r="45" spans="1:6" x14ac:dyDescent="0.3">
      <c r="A45">
        <v>271019</v>
      </c>
      <c r="B45" t="s">
        <v>39</v>
      </c>
      <c r="C45">
        <v>212476555.21799999</v>
      </c>
      <c r="D45">
        <v>2025</v>
      </c>
      <c r="E45" t="s">
        <v>54</v>
      </c>
      <c r="F45" t="str">
        <f>IF(COUNTIF([1]Top50!$A:$A, A45)&gt;0, "Yes", "No")</f>
        <v>Yes</v>
      </c>
    </row>
    <row r="46" spans="1:6" x14ac:dyDescent="0.3">
      <c r="A46">
        <v>290511</v>
      </c>
      <c r="B46" t="s">
        <v>43</v>
      </c>
      <c r="C46">
        <v>212253061.71900001</v>
      </c>
      <c r="D46">
        <v>2025</v>
      </c>
      <c r="E46" t="s">
        <v>54</v>
      </c>
      <c r="F46" t="str">
        <f>IF(COUNTIF([1]Top50!$A:$A, A46)&gt;0, "Yes", "No")</f>
        <v>No</v>
      </c>
    </row>
    <row r="47" spans="1:6" x14ac:dyDescent="0.3">
      <c r="A47">
        <v>392020</v>
      </c>
      <c r="B47" t="s">
        <v>3</v>
      </c>
      <c r="C47">
        <v>205865693.477</v>
      </c>
      <c r="D47">
        <v>2025</v>
      </c>
      <c r="E47" t="s">
        <v>54</v>
      </c>
      <c r="F47" t="str">
        <f>IF(COUNTIF([1]Top50!$A:$A, A47)&gt;0, "Yes", "No")</f>
        <v>No</v>
      </c>
    </row>
    <row r="48" spans="1:6" x14ac:dyDescent="0.3">
      <c r="A48">
        <v>620469</v>
      </c>
      <c r="B48" t="s">
        <v>33</v>
      </c>
      <c r="C48">
        <v>204893458.414</v>
      </c>
      <c r="D48">
        <v>2025</v>
      </c>
      <c r="E48" t="s">
        <v>54</v>
      </c>
      <c r="F48" t="str">
        <f>IF(COUNTIF([1]Top50!$A:$A, A48)&gt;0, "Yes", "No")</f>
        <v>No</v>
      </c>
    </row>
    <row r="49" spans="1:6" x14ac:dyDescent="0.3">
      <c r="A49">
        <v>721391</v>
      </c>
      <c r="B49" t="s">
        <v>7</v>
      </c>
      <c r="C49">
        <v>202111726.54699999</v>
      </c>
      <c r="D49">
        <v>2025</v>
      </c>
      <c r="E49" t="s">
        <v>54</v>
      </c>
      <c r="F49" t="str">
        <f>IF(COUNTIF([1]Top50!$A:$A, A49)&gt;0, "Yes", "No")</f>
        <v>No</v>
      </c>
    </row>
    <row r="50" spans="1:6" x14ac:dyDescent="0.3">
      <c r="A50">
        <v>71080</v>
      </c>
      <c r="B50" t="s">
        <v>13</v>
      </c>
      <c r="C50">
        <v>200973946.36399999</v>
      </c>
      <c r="D50">
        <v>2025</v>
      </c>
      <c r="E50" t="s">
        <v>54</v>
      </c>
      <c r="F50" t="str">
        <f>IF(COUNTIF([1]Top50!$A:$A, A50)&gt;0, "Yes", "No")</f>
        <v>No</v>
      </c>
    </row>
    <row r="51" spans="1:6" x14ac:dyDescent="0.3">
      <c r="A51">
        <v>280300</v>
      </c>
      <c r="B51" t="s">
        <v>42</v>
      </c>
      <c r="C51">
        <v>198734871.04899999</v>
      </c>
      <c r="D51">
        <v>2025</v>
      </c>
      <c r="E51" t="s">
        <v>54</v>
      </c>
      <c r="F51" t="str">
        <f>IF(COUNTIF([1]Top50!$A:$A, A51)&gt;0, "Yes", "No")</f>
        <v>No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83D32-5AFC-4043-9A75-0E66FB777E87}">
  <dimension ref="A1:B2"/>
  <sheetViews>
    <sheetView workbookViewId="0">
      <selection activeCell="F2" sqref="F2"/>
    </sheetView>
  </sheetViews>
  <sheetFormatPr defaultRowHeight="14.4" x14ac:dyDescent="0.3"/>
  <sheetData>
    <row r="1" spans="1:2" x14ac:dyDescent="0.3">
      <c r="A1" t="s">
        <v>50</v>
      </c>
      <c r="B1" t="s">
        <v>51</v>
      </c>
    </row>
    <row r="2" spans="1:2" x14ac:dyDescent="0.3">
      <c r="A2" t="s">
        <v>52</v>
      </c>
      <c r="B2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Top50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Mustafa Hassan Alshazly</cp:lastModifiedBy>
  <dcterms:created xsi:type="dcterms:W3CDTF">2026-10-22T07:18:15Z</dcterms:created>
  <dcterms:modified xsi:type="dcterms:W3CDTF">2026-10-22T08:25:11Z</dcterms:modified>
</cp:coreProperties>
</file>